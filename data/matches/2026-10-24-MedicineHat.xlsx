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0e9fc01a85f2e3/Documents/"/>
    </mc:Choice>
  </mc:AlternateContent>
  <xr:revisionPtr revIDLastSave="440" documentId="8_{EBBB180C-67CA-4D9C-8D58-1C8D74154F3A}" xr6:coauthVersionLast="47" xr6:coauthVersionMax="47" xr10:uidLastSave="{8E6375EF-24A8-42F7-8E8B-638B81E3B748}"/>
  <bookViews>
    <workbookView xWindow="-96" yWindow="0" windowWidth="11712" windowHeight="13776" xr2:uid="{361D9619-CEE4-44B8-9E6F-0EEC4AEA12B1}"/>
  </bookViews>
  <sheets>
    <sheet name="Match Information" sheetId="7" r:id="rId1"/>
    <sheet name="Key Metrics" sheetId="1" r:id="rId2"/>
    <sheet name="By Skill" sheetId="2" r:id="rId3"/>
    <sheet name="Attack Detail" sheetId="3" r:id="rId4"/>
    <sheet name="Rotation Details" sheetId="4" r:id="rId5"/>
    <sheet name="Setting Stats" sheetId="5" r:id="rId6"/>
    <sheet name="Passing by Contact Poin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" i="6" l="1"/>
  <c r="H25" i="6"/>
  <c r="I20" i="6"/>
  <c r="H20" i="6"/>
  <c r="I17" i="6"/>
  <c r="H17" i="6"/>
  <c r="I16" i="6"/>
  <c r="H16" i="6"/>
  <c r="I15" i="6"/>
  <c r="H15" i="6"/>
  <c r="I14" i="6"/>
  <c r="H14" i="6"/>
  <c r="I13" i="6"/>
  <c r="H13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2" i="6"/>
  <c r="H2" i="6"/>
</calcChain>
</file>

<file path=xl/sharedStrings.xml><?xml version="1.0" encoding="utf-8"?>
<sst xmlns="http://schemas.openxmlformats.org/spreadsheetml/2006/main" count="296" uniqueCount="174">
  <si>
    <t>Side-Out %</t>
  </si>
  <si>
    <t>First-Ball SO %</t>
  </si>
  <si>
    <t>First-ball kills/(opponent serves-errors)</t>
  </si>
  <si>
    <t>Point Scoring %</t>
  </si>
  <si>
    <t>Points won serving / Serves</t>
  </si>
  <si>
    <t>Side-outs / Opponent serves</t>
  </si>
  <si>
    <t>Game Phase</t>
  </si>
  <si>
    <t>Passing</t>
  </si>
  <si>
    <t>In-System %</t>
  </si>
  <si>
    <t>Passes graded 3 or 2 / Receptions</t>
  </si>
  <si>
    <t>Aced %</t>
  </si>
  <si>
    <t>Passes graded 0 / Receptions · lower is better · scale reversed</t>
  </si>
  <si>
    <t>Key Offensive</t>
  </si>
  <si>
    <t>Attack Efficiency</t>
  </si>
  <si>
    <t>(Kills − Errors) / Attacks</t>
  </si>
  <si>
    <t>First Ball Atk Eff</t>
  </si>
  <si>
    <t>Attacks in the reception’s own possession</t>
  </si>
  <si>
    <t>Transition Atk Eff</t>
  </si>
  <si>
    <t>Attacks in every other possession — digs, freeballs, block covers</t>
  </si>
  <si>
    <t>Key Defensive</t>
  </si>
  <si>
    <t>Block Impact %</t>
  </si>
  <si>
    <t>(Stuff Blocks + Positive Touches) / Opp Attacks</t>
  </si>
  <si>
    <t>Conversion %</t>
  </si>
  <si>
    <t>Dig → Set → Kill / Digs</t>
  </si>
  <si>
    <t>Attack</t>
  </si>
  <si>
    <t>Kills</t>
  </si>
  <si>
    <t>In Play</t>
  </si>
  <si>
    <t>Blocked</t>
  </si>
  <si>
    <t>Error</t>
  </si>
  <si>
    <t>Total Swings</t>
  </si>
  <si>
    <t>Blocks</t>
  </si>
  <si>
    <t>Stuff</t>
  </si>
  <si>
    <t>Positive</t>
  </si>
  <si>
    <t>Defense</t>
  </si>
  <si>
    <t>Digs</t>
  </si>
  <si>
    <t>Kills (Converted)</t>
  </si>
  <si>
    <t>Serve</t>
  </si>
  <si>
    <t>Aces</t>
  </si>
  <si>
    <t>Overpass</t>
  </si>
  <si>
    <t>OOS Pass</t>
  </si>
  <si>
    <t>Good Pass</t>
  </si>
  <si>
    <t>Serve Error</t>
  </si>
  <si>
    <t>Disruption %</t>
  </si>
  <si>
    <t>(Aces + Poor Passes) / Serves</t>
  </si>
  <si>
    <t>Serve Receive</t>
  </si>
  <si>
    <t>Aced</t>
  </si>
  <si>
    <t>Allowed Disruption %</t>
  </si>
  <si>
    <t>Attack Type</t>
  </si>
  <si>
    <t>Attempts</t>
  </si>
  <si>
    <t>FB Eff.</t>
  </si>
  <si>
    <t>Transition Eff.</t>
  </si>
  <si>
    <t>Go (LS IS)</t>
  </si>
  <si>
    <t>Hut (LS OOS)</t>
  </si>
  <si>
    <t>Five (RS OOS)</t>
  </si>
  <si>
    <t>Red (RS IS)</t>
  </si>
  <si>
    <t>D-Ball</t>
  </si>
  <si>
    <t>BIC</t>
  </si>
  <si>
    <t>Previous Play</t>
  </si>
  <si>
    <t>FB</t>
  </si>
  <si>
    <t>Transition</t>
  </si>
  <si>
    <t>GAPP(Good Attacks Per Possession)</t>
  </si>
  <si>
    <t>Total Possessions</t>
  </si>
  <si>
    <t>(Receptions+Digs+Freeballs+Covers)</t>
  </si>
  <si>
    <t>Attacks</t>
  </si>
  <si>
    <t>(Attacks-Attacks OOB)</t>
  </si>
  <si>
    <t>Opponent Attack Eff</t>
  </si>
  <si>
    <t>What they hit against you · lower is better · scale reversed</t>
  </si>
  <si>
    <t>Rotation</t>
  </si>
  <si>
    <t>Sets</t>
  </si>
  <si>
    <t>Ro1</t>
  </si>
  <si>
    <t>Ro2</t>
  </si>
  <si>
    <t>Ro3</t>
  </si>
  <si>
    <t>Ro4</t>
  </si>
  <si>
    <t>Ro5</t>
  </si>
  <si>
    <t>Ro6</t>
  </si>
  <si>
    <t>Who Sets</t>
  </si>
  <si>
    <t>Share of Trans. Sets</t>
  </si>
  <si>
    <t>K%</t>
  </si>
  <si>
    <t>E%</t>
  </si>
  <si>
    <t>EFF.</t>
  </si>
  <si>
    <t xml:space="preserve">Setter </t>
  </si>
  <si>
    <t>Lib</t>
  </si>
  <si>
    <t>Non-setter</t>
  </si>
  <si>
    <t>Share of FB Sets</t>
  </si>
  <si>
    <t>Total</t>
  </si>
  <si>
    <t>SO%</t>
  </si>
  <si>
    <t>PS%</t>
  </si>
  <si>
    <t>Ace</t>
  </si>
  <si>
    <t>SR Perf</t>
  </si>
  <si>
    <t>SR Good</t>
  </si>
  <si>
    <t>SR Poor</t>
  </si>
  <si>
    <t>SR Err</t>
  </si>
  <si>
    <t>SR Att</t>
  </si>
  <si>
    <t>Serve Err</t>
  </si>
  <si>
    <t>Serve Att</t>
  </si>
  <si>
    <t>Serve In %</t>
  </si>
  <si>
    <t>Kill</t>
  </si>
  <si>
    <t>A Err</t>
  </si>
  <si>
    <t>Att</t>
  </si>
  <si>
    <t>Reception</t>
  </si>
  <si>
    <t>Player No.</t>
  </si>
  <si>
    <t>Player Name</t>
  </si>
  <si>
    <t>Position</t>
  </si>
  <si>
    <t>Contact Point</t>
  </si>
  <si>
    <t>Total Pass</t>
  </si>
  <si>
    <t>GP %</t>
  </si>
  <si>
    <t>On body</t>
  </si>
  <si>
    <t>His Left</t>
  </si>
  <si>
    <t>His Right</t>
  </si>
  <si>
    <t>Low</t>
  </si>
  <si>
    <t>Overhand</t>
  </si>
  <si>
    <t>GAPP %</t>
  </si>
  <si>
    <t>Total Eff.</t>
  </si>
  <si>
    <t>Errors</t>
  </si>
  <si>
    <t>Match date</t>
  </si>
  <si>
    <t>Opponent</t>
  </si>
  <si>
    <t>Match result</t>
  </si>
  <si>
    <t>Sets won and lost</t>
  </si>
  <si>
    <t>MHC Rattlers</t>
  </si>
  <si>
    <t>Keyano, 3-1</t>
  </si>
  <si>
    <t>Eff.</t>
  </si>
  <si>
    <t>-</t>
  </si>
  <si>
    <t>Kaylen</t>
  </si>
  <si>
    <t>L</t>
  </si>
  <si>
    <t>Rafael</t>
  </si>
  <si>
    <t>OH</t>
  </si>
  <si>
    <t>Titus</t>
  </si>
  <si>
    <t>Seth</t>
  </si>
  <si>
    <t>Colton</t>
  </si>
  <si>
    <t>Red Zone</t>
  </si>
  <si>
    <t>After Huskies reach 20</t>
  </si>
  <si>
    <t>Set 1</t>
  </si>
  <si>
    <t>20-13</t>
  </si>
  <si>
    <t>Huskies</t>
  </si>
  <si>
    <t>MHC</t>
  </si>
  <si>
    <t>Serve Error (Net)</t>
  </si>
  <si>
    <t>D-S-K</t>
  </si>
  <si>
    <t>Serve Error (OOB)</t>
  </si>
  <si>
    <t>Block</t>
  </si>
  <si>
    <t>20-14</t>
  </si>
  <si>
    <t>20-15</t>
  </si>
  <si>
    <t>21-15</t>
  </si>
  <si>
    <t>21-16</t>
  </si>
  <si>
    <t>22-16</t>
  </si>
  <si>
    <t>23-16</t>
  </si>
  <si>
    <t>24-16</t>
  </si>
  <si>
    <t>Negative Block (Kill)</t>
  </si>
  <si>
    <t>24-17</t>
  </si>
  <si>
    <t>Attack Error (Net)</t>
  </si>
  <si>
    <t>Attack Error (OOB)</t>
  </si>
  <si>
    <t>24-18</t>
  </si>
  <si>
    <t>FBK</t>
  </si>
  <si>
    <t>25-18</t>
  </si>
  <si>
    <t>Set 2</t>
  </si>
  <si>
    <t>20-12</t>
  </si>
  <si>
    <t>K</t>
  </si>
  <si>
    <t>21-13</t>
  </si>
  <si>
    <t>21-14</t>
  </si>
  <si>
    <t>22-14</t>
  </si>
  <si>
    <t>23-14</t>
  </si>
  <si>
    <t>23-15</t>
  </si>
  <si>
    <t>24-15</t>
  </si>
  <si>
    <t>25-16</t>
  </si>
  <si>
    <t>Set 3</t>
  </si>
  <si>
    <t>20-23</t>
  </si>
  <si>
    <t>Attack Error (Blocked)</t>
  </si>
  <si>
    <t>21-23</t>
  </si>
  <si>
    <t>21-24</t>
  </si>
  <si>
    <t>21-25</t>
  </si>
  <si>
    <t>Set 4</t>
  </si>
  <si>
    <t>Net Fault</t>
  </si>
  <si>
    <t>22-13</t>
  </si>
  <si>
    <t>24-14</t>
  </si>
  <si>
    <t>25-15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</si>
</sst>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7" x14ac:knownFonts="1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i/>
      <sz val="8"/>
      <color rgb="FF7F7F7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/>
    <xf numFmtId="0" fontId="0" fillId="0" borderId="0" xfId="0" applyAlignment="1">
      <alignment vertical="center"/>
    </xf>
    <xf numFmtId="0" fontId="3" fillId="0" borderId="0" xfId="1" applyFont="1" applyAlignment="1">
      <alignment vertical="center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1" xfId="0" applyBorder="1"/>
    <xf numFmtId="0" fontId="0" fillId="0" borderId="3" xfId="0" applyBorder="1"/>
    <xf numFmtId="0" fontId="0" fillId="2" borderId="0" xfId="0" applyFill="1" applyAlignment="1">
      <alignment vertical="center"/>
    </xf>
    <xf numFmtId="0" fontId="0" fillId="0" borderId="4" xfId="0" applyBorder="1"/>
    <xf numFmtId="0" fontId="0" fillId="2" borderId="0" xfId="0" applyFill="1" applyAlignment="1">
      <alignment horizontal="center" vertical="center"/>
    </xf>
    <xf numFmtId="9" fontId="0" fillId="2" borderId="0" xfId="2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/>
    <xf numFmtId="14" fontId="0" fillId="0" borderId="0" xfId="0" applyNumberFormat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6" fillId="0" borderId="0" xfId="0" applyFont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0" xfId="0" applyFill="1"/>
    <xf numFmtId="165" fontId="0" fillId="2" borderId="0" xfId="0" applyNumberFormat="1" applyFill="1"/>
    <xf numFmtId="0" fontId="0" fillId="3" borderId="0" xfId="0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0" fillId="2" borderId="4" xfId="2" applyNumberFormat="1" applyFont="1" applyFill="1" applyBorder="1" applyAlignment="1">
      <alignment horizontal="center" vertical="center"/>
    </xf>
    <xf numFmtId="165" fontId="0" fillId="2" borderId="0" xfId="2" applyNumberFormat="1" applyFont="1" applyFill="1" applyBorder="1" applyAlignment="1">
      <alignment horizontal="center" vertical="center"/>
    </xf>
    <xf numFmtId="165" fontId="0" fillId="2" borderId="3" xfId="2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Explanatory Text" xfId="1" builtinId="5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F598-EDF6-48C5-8EC1-F9E1C8E3D85A}">
  <dimension ref="A1:F53"/>
  <sheetViews>
    <sheetView tabSelected="1" topLeftCell="A28" workbookViewId="0">
      <selection activeCell="E42" sqref="E42"/>
    </sheetView>
  </sheetViews>
  <sheetFormatPr defaultRowHeight="14.4" x14ac:dyDescent="0.3"/>
  <cols>
    <col min="1" max="1" width="14.77734375" bestFit="1" customWidth="1"/>
    <col min="2" max="2" width="14.21875" style="13" bestFit="1" customWidth="1"/>
    <col min="3" max="5" width="8.88671875" style="13"/>
  </cols>
  <sheetData>
    <row r="1" spans="1:6" x14ac:dyDescent="0.3">
      <c r="A1" t="s">
        <v>114</v>
      </c>
      <c r="B1" s="15">
        <v>46319</v>
      </c>
    </row>
    <row r="3" spans="1:6" x14ac:dyDescent="0.3">
      <c r="A3" t="s">
        <v>115</v>
      </c>
      <c r="B3" s="13" t="s">
        <v>118</v>
      </c>
    </row>
    <row r="5" spans="1:6" x14ac:dyDescent="0.3">
      <c r="A5" t="s">
        <v>116</v>
      </c>
      <c r="B5" s="13" t="s">
        <v>119</v>
      </c>
    </row>
    <row r="7" spans="1:6" x14ac:dyDescent="0.3">
      <c r="A7" t="s">
        <v>117</v>
      </c>
      <c r="B7" s="16">
        <v>25</v>
      </c>
      <c r="C7" s="16">
        <v>25</v>
      </c>
      <c r="D7" s="17">
        <v>21</v>
      </c>
      <c r="E7" s="16">
        <v>25</v>
      </c>
      <c r="F7" s="14"/>
    </row>
    <row r="8" spans="1:6" x14ac:dyDescent="0.3">
      <c r="B8" s="13">
        <v>18</v>
      </c>
      <c r="C8" s="13">
        <v>16</v>
      </c>
      <c r="D8" s="18">
        <v>25</v>
      </c>
      <c r="E8" s="13">
        <v>15</v>
      </c>
    </row>
    <row r="10" spans="1:6" x14ac:dyDescent="0.3">
      <c r="A10" t="s">
        <v>129</v>
      </c>
    </row>
    <row r="11" spans="1:6" x14ac:dyDescent="0.3">
      <c r="A11" s="3" t="s">
        <v>130</v>
      </c>
    </row>
    <row r="13" spans="1:6" x14ac:dyDescent="0.3">
      <c r="A13" t="s">
        <v>131</v>
      </c>
      <c r="B13" s="13" t="s">
        <v>132</v>
      </c>
    </row>
    <row r="14" spans="1:6" x14ac:dyDescent="0.3">
      <c r="B14" s="38" t="s">
        <v>133</v>
      </c>
      <c r="C14" s="38" t="s">
        <v>134</v>
      </c>
    </row>
    <row r="15" spans="1:6" x14ac:dyDescent="0.3">
      <c r="B15" t="s">
        <v>135</v>
      </c>
      <c r="C15" s="3" t="s">
        <v>139</v>
      </c>
    </row>
    <row r="16" spans="1:6" x14ac:dyDescent="0.3">
      <c r="B16" s="3" t="s">
        <v>140</v>
      </c>
      <c r="C16" s="13" t="s">
        <v>96</v>
      </c>
    </row>
    <row r="17" spans="1:3" x14ac:dyDescent="0.3">
      <c r="B17" s="13" t="s">
        <v>136</v>
      </c>
      <c r="C17" s="3" t="s">
        <v>141</v>
      </c>
    </row>
    <row r="18" spans="1:3" x14ac:dyDescent="0.3">
      <c r="B18" t="s">
        <v>137</v>
      </c>
      <c r="C18" s="3" t="s">
        <v>142</v>
      </c>
    </row>
    <row r="19" spans="1:3" x14ac:dyDescent="0.3">
      <c r="B19" s="13" t="s">
        <v>138</v>
      </c>
      <c r="C19" s="3" t="s">
        <v>143</v>
      </c>
    </row>
    <row r="20" spans="1:3" x14ac:dyDescent="0.3">
      <c r="B20" s="13" t="s">
        <v>138</v>
      </c>
      <c r="C20" s="3" t="s">
        <v>144</v>
      </c>
    </row>
    <row r="21" spans="1:3" x14ac:dyDescent="0.3">
      <c r="B21" s="13" t="s">
        <v>138</v>
      </c>
      <c r="C21" s="3" t="s">
        <v>145</v>
      </c>
    </row>
    <row r="22" spans="1:3" x14ac:dyDescent="0.3">
      <c r="B22" t="s">
        <v>146</v>
      </c>
      <c r="C22" s="3" t="s">
        <v>147</v>
      </c>
    </row>
    <row r="23" spans="1:3" x14ac:dyDescent="0.3">
      <c r="B23" t="s">
        <v>149</v>
      </c>
      <c r="C23" s="3" t="s">
        <v>150</v>
      </c>
    </row>
    <row r="24" spans="1:3" x14ac:dyDescent="0.3">
      <c r="B24" s="13" t="s">
        <v>151</v>
      </c>
      <c r="C24" s="3" t="s">
        <v>152</v>
      </c>
    </row>
    <row r="26" spans="1:3" x14ac:dyDescent="0.3">
      <c r="A26" t="s">
        <v>153</v>
      </c>
      <c r="B26" s="13" t="s">
        <v>154</v>
      </c>
    </row>
    <row r="27" spans="1:3" x14ac:dyDescent="0.3">
      <c r="B27" s="38" t="s">
        <v>133</v>
      </c>
      <c r="C27" s="38" t="s">
        <v>134</v>
      </c>
    </row>
    <row r="28" spans="1:3" x14ac:dyDescent="0.3">
      <c r="B28" s="3" t="s">
        <v>132</v>
      </c>
      <c r="C28" s="13" t="s">
        <v>151</v>
      </c>
    </row>
    <row r="29" spans="1:3" x14ac:dyDescent="0.3">
      <c r="B29" s="13" t="s">
        <v>151</v>
      </c>
      <c r="C29" s="3" t="s">
        <v>156</v>
      </c>
    </row>
    <row r="30" spans="1:3" x14ac:dyDescent="0.3">
      <c r="B30" s="3" t="s">
        <v>157</v>
      </c>
      <c r="C30" s="13" t="s">
        <v>151</v>
      </c>
    </row>
    <row r="31" spans="1:3" x14ac:dyDescent="0.3">
      <c r="B31" s="3" t="s">
        <v>158</v>
      </c>
      <c r="C31" t="s">
        <v>137</v>
      </c>
    </row>
    <row r="32" spans="1:3" x14ac:dyDescent="0.3">
      <c r="B32" s="3" t="s">
        <v>159</v>
      </c>
      <c r="C32" t="s">
        <v>149</v>
      </c>
    </row>
    <row r="33" spans="1:3" x14ac:dyDescent="0.3">
      <c r="B33" s="3" t="s">
        <v>160</v>
      </c>
      <c r="C33" s="13" t="s">
        <v>151</v>
      </c>
    </row>
    <row r="34" spans="1:3" x14ac:dyDescent="0.3">
      <c r="B34" s="13" t="s">
        <v>151</v>
      </c>
      <c r="C34" s="3" t="s">
        <v>161</v>
      </c>
    </row>
    <row r="35" spans="1:3" x14ac:dyDescent="0.3">
      <c r="B35" s="3" t="s">
        <v>145</v>
      </c>
      <c r="C35" s="13" t="s">
        <v>155</v>
      </c>
    </row>
    <row r="36" spans="1:3" x14ac:dyDescent="0.3">
      <c r="B36" s="13" t="s">
        <v>151</v>
      </c>
      <c r="C36" s="3" t="s">
        <v>162</v>
      </c>
    </row>
    <row r="38" spans="1:3" x14ac:dyDescent="0.3">
      <c r="A38" t="s">
        <v>163</v>
      </c>
      <c r="B38" s="13" t="s">
        <v>164</v>
      </c>
    </row>
    <row r="39" spans="1:3" x14ac:dyDescent="0.3">
      <c r="B39" s="38" t="s">
        <v>133</v>
      </c>
      <c r="C39" s="38" t="s">
        <v>134</v>
      </c>
    </row>
    <row r="40" spans="1:3" x14ac:dyDescent="0.3">
      <c r="B40" s="13" t="s">
        <v>136</v>
      </c>
      <c r="C40" s="3" t="s">
        <v>166</v>
      </c>
    </row>
    <row r="41" spans="1:3" x14ac:dyDescent="0.3">
      <c r="B41" s="3" t="s">
        <v>167</v>
      </c>
      <c r="C41" s="13" t="s">
        <v>151</v>
      </c>
    </row>
    <row r="42" spans="1:3" x14ac:dyDescent="0.3">
      <c r="B42" s="13" t="s">
        <v>165</v>
      </c>
      <c r="C42" s="3" t="s">
        <v>168</v>
      </c>
    </row>
    <row r="44" spans="1:3" x14ac:dyDescent="0.3">
      <c r="A44" t="s">
        <v>169</v>
      </c>
      <c r="B44" s="13" t="s">
        <v>154</v>
      </c>
    </row>
    <row r="45" spans="1:3" x14ac:dyDescent="0.3">
      <c r="B45" s="38" t="s">
        <v>133</v>
      </c>
      <c r="C45" s="38" t="s">
        <v>134</v>
      </c>
    </row>
    <row r="46" spans="1:3" x14ac:dyDescent="0.3">
      <c r="B46" s="13" t="s">
        <v>148</v>
      </c>
      <c r="C46" s="3" t="s">
        <v>132</v>
      </c>
    </row>
    <row r="47" spans="1:3" x14ac:dyDescent="0.3">
      <c r="B47" s="13" t="s">
        <v>151</v>
      </c>
      <c r="C47" s="3" t="s">
        <v>156</v>
      </c>
    </row>
    <row r="48" spans="1:3" x14ac:dyDescent="0.3">
      <c r="B48" s="13" t="s">
        <v>87</v>
      </c>
      <c r="C48" s="3" t="s">
        <v>171</v>
      </c>
    </row>
    <row r="49" spans="2:3" x14ac:dyDescent="0.3">
      <c r="B49" s="13" t="s">
        <v>137</v>
      </c>
      <c r="C49" s="3" t="s">
        <v>158</v>
      </c>
    </row>
    <row r="50" spans="2:3" x14ac:dyDescent="0.3">
      <c r="B50" s="3" t="s">
        <v>159</v>
      </c>
      <c r="C50" s="13" t="s">
        <v>137</v>
      </c>
    </row>
    <row r="51" spans="2:3" x14ac:dyDescent="0.3">
      <c r="B51" s="13" t="s">
        <v>138</v>
      </c>
      <c r="C51" s="3" t="s">
        <v>172</v>
      </c>
    </row>
    <row r="52" spans="2:3" x14ac:dyDescent="0.3">
      <c r="B52" s="13" t="s">
        <v>170</v>
      </c>
      <c r="C52" s="3" t="s">
        <v>161</v>
      </c>
    </row>
    <row r="53" spans="2:3" x14ac:dyDescent="0.3">
      <c r="B53" s="13" t="s">
        <v>151</v>
      </c>
      <c r="C53" s="3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27AD-AB36-4749-A0F8-48413C42E301}">
  <dimension ref="A1:C36"/>
  <sheetViews>
    <sheetView zoomScaleNormal="100" workbookViewId="0">
      <selection activeCell="U9" sqref="U9"/>
    </sheetView>
  </sheetViews>
  <sheetFormatPr defaultRowHeight="14.4" x14ac:dyDescent="0.3"/>
  <cols>
    <col min="1" max="1" width="12" style="2" bestFit="1" customWidth="1"/>
    <col min="2" max="2" width="38.44140625" style="2" bestFit="1" customWidth="1"/>
    <col min="3" max="3" width="8.88671875" style="24"/>
    <col min="4" max="16384" width="8.88671875" style="2"/>
  </cols>
  <sheetData>
    <row r="1" spans="1:3" x14ac:dyDescent="0.3">
      <c r="A1" s="2" t="s">
        <v>6</v>
      </c>
    </row>
    <row r="2" spans="1:3" x14ac:dyDescent="0.3">
      <c r="B2" s="2" t="s">
        <v>0</v>
      </c>
      <c r="C2" s="25">
        <v>0.72</v>
      </c>
    </row>
    <row r="3" spans="1:3" x14ac:dyDescent="0.3">
      <c r="B3" s="3" t="s">
        <v>5</v>
      </c>
    </row>
    <row r="5" spans="1:3" x14ac:dyDescent="0.3">
      <c r="B5" s="2" t="s">
        <v>1</v>
      </c>
      <c r="C5" s="25">
        <v>0.443</v>
      </c>
    </row>
    <row r="6" spans="1:3" x14ac:dyDescent="0.3">
      <c r="B6" s="3" t="s">
        <v>2</v>
      </c>
    </row>
    <row r="8" spans="1:3" x14ac:dyDescent="0.3">
      <c r="B8" s="2" t="s">
        <v>3</v>
      </c>
      <c r="C8" s="25">
        <v>0.44800000000000001</v>
      </c>
    </row>
    <row r="9" spans="1:3" x14ac:dyDescent="0.3">
      <c r="B9" s="3" t="s">
        <v>4</v>
      </c>
    </row>
    <row r="11" spans="1:3" x14ac:dyDescent="0.3">
      <c r="A11" s="2" t="s">
        <v>7</v>
      </c>
    </row>
    <row r="12" spans="1:3" x14ac:dyDescent="0.3">
      <c r="B12" s="2" t="s">
        <v>8</v>
      </c>
      <c r="C12" s="25">
        <v>0.72099999999999997</v>
      </c>
    </row>
    <row r="13" spans="1:3" x14ac:dyDescent="0.3">
      <c r="B13" s="3" t="s">
        <v>9</v>
      </c>
    </row>
    <row r="15" spans="1:3" x14ac:dyDescent="0.3">
      <c r="B15" s="2" t="s">
        <v>10</v>
      </c>
      <c r="C15" s="23">
        <v>9.8400000000000001E-2</v>
      </c>
    </row>
    <row r="16" spans="1:3" x14ac:dyDescent="0.3">
      <c r="B16" s="3" t="s">
        <v>11</v>
      </c>
    </row>
    <row r="18" spans="1:3" x14ac:dyDescent="0.3">
      <c r="A18" s="2" t="s">
        <v>12</v>
      </c>
    </row>
    <row r="19" spans="1:3" x14ac:dyDescent="0.3">
      <c r="B19" s="2" t="s">
        <v>13</v>
      </c>
      <c r="C19" s="10">
        <v>0.313</v>
      </c>
    </row>
    <row r="20" spans="1:3" x14ac:dyDescent="0.3">
      <c r="B20" s="3" t="s">
        <v>14</v>
      </c>
    </row>
    <row r="22" spans="1:3" x14ac:dyDescent="0.3">
      <c r="B22" s="2" t="s">
        <v>15</v>
      </c>
      <c r="C22" s="10">
        <v>0.38800000000000001</v>
      </c>
    </row>
    <row r="23" spans="1:3" x14ac:dyDescent="0.3">
      <c r="B23" s="3" t="s">
        <v>16</v>
      </c>
    </row>
    <row r="25" spans="1:3" x14ac:dyDescent="0.3">
      <c r="B25" s="2" t="s">
        <v>17</v>
      </c>
      <c r="C25" s="10">
        <v>0.20599999999999999</v>
      </c>
    </row>
    <row r="26" spans="1:3" x14ac:dyDescent="0.3">
      <c r="B26" s="3" t="s">
        <v>18</v>
      </c>
    </row>
    <row r="28" spans="1:3" x14ac:dyDescent="0.3">
      <c r="A28" s="2" t="s">
        <v>19</v>
      </c>
    </row>
    <row r="29" spans="1:3" x14ac:dyDescent="0.3">
      <c r="B29" s="2" t="s">
        <v>20</v>
      </c>
      <c r="C29" s="25">
        <v>0.21299999999999999</v>
      </c>
    </row>
    <row r="30" spans="1:3" x14ac:dyDescent="0.3">
      <c r="B30" s="3" t="s">
        <v>21</v>
      </c>
    </row>
    <row r="32" spans="1:3" x14ac:dyDescent="0.3">
      <c r="B32" s="2" t="s">
        <v>22</v>
      </c>
      <c r="C32" s="25">
        <v>0.32400000000000001</v>
      </c>
    </row>
    <row r="33" spans="2:3" x14ac:dyDescent="0.3">
      <c r="B33" s="3" t="s">
        <v>23</v>
      </c>
    </row>
    <row r="35" spans="2:3" x14ac:dyDescent="0.3">
      <c r="B35" t="s">
        <v>65</v>
      </c>
      <c r="C35" s="10">
        <v>0.10100000000000001</v>
      </c>
    </row>
    <row r="36" spans="2:3" x14ac:dyDescent="0.3">
      <c r="B36" s="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A21F-EB73-4D1B-8EA7-F1C13A307B03}">
  <dimension ref="A1:C44"/>
  <sheetViews>
    <sheetView workbookViewId="0">
      <selection activeCell="E36" sqref="E36"/>
    </sheetView>
  </sheetViews>
  <sheetFormatPr defaultRowHeight="14.4" x14ac:dyDescent="0.3"/>
  <cols>
    <col min="1" max="1" width="30.5546875" bestFit="1" customWidth="1"/>
    <col min="2" max="2" width="26.6640625" bestFit="1" customWidth="1"/>
    <col min="3" max="3" width="8.88671875" style="24"/>
  </cols>
  <sheetData>
    <row r="1" spans="1:3" x14ac:dyDescent="0.3">
      <c r="A1" t="s">
        <v>24</v>
      </c>
    </row>
    <row r="2" spans="1:3" x14ac:dyDescent="0.3">
      <c r="B2" t="s">
        <v>25</v>
      </c>
      <c r="C2" s="10">
        <v>41</v>
      </c>
    </row>
    <row r="3" spans="1:3" x14ac:dyDescent="0.3">
      <c r="B3" t="s">
        <v>26</v>
      </c>
      <c r="C3" s="10">
        <v>27</v>
      </c>
    </row>
    <row r="4" spans="1:3" x14ac:dyDescent="0.3">
      <c r="B4" t="s">
        <v>27</v>
      </c>
      <c r="C4" s="10">
        <v>6</v>
      </c>
    </row>
    <row r="5" spans="1:3" x14ac:dyDescent="0.3">
      <c r="B5" t="s">
        <v>28</v>
      </c>
      <c r="C5" s="10">
        <v>9</v>
      </c>
    </row>
    <row r="6" spans="1:3" x14ac:dyDescent="0.3">
      <c r="B6" s="1" t="s">
        <v>29</v>
      </c>
      <c r="C6" s="10">
        <v>83</v>
      </c>
    </row>
    <row r="8" spans="1:3" x14ac:dyDescent="0.3">
      <c r="A8" t="s">
        <v>30</v>
      </c>
    </row>
    <row r="9" spans="1:3" x14ac:dyDescent="0.3">
      <c r="B9" t="s">
        <v>31</v>
      </c>
      <c r="C9" s="10">
        <v>7</v>
      </c>
    </row>
    <row r="10" spans="1:3" x14ac:dyDescent="0.3">
      <c r="B10" t="s">
        <v>32</v>
      </c>
      <c r="C10" s="10">
        <v>12</v>
      </c>
    </row>
    <row r="11" spans="1:3" x14ac:dyDescent="0.3">
      <c r="B11" t="s">
        <v>28</v>
      </c>
      <c r="C11" s="10">
        <v>11</v>
      </c>
    </row>
    <row r="13" spans="1:3" x14ac:dyDescent="0.3">
      <c r="A13" t="s">
        <v>33</v>
      </c>
    </row>
    <row r="14" spans="1:3" x14ac:dyDescent="0.3">
      <c r="B14" t="s">
        <v>34</v>
      </c>
      <c r="C14" s="10">
        <v>37</v>
      </c>
    </row>
    <row r="15" spans="1:3" x14ac:dyDescent="0.3">
      <c r="B15" t="s">
        <v>26</v>
      </c>
      <c r="C15" s="10">
        <v>25</v>
      </c>
    </row>
    <row r="16" spans="1:3" x14ac:dyDescent="0.3">
      <c r="B16" t="s">
        <v>35</v>
      </c>
      <c r="C16" s="10">
        <v>12</v>
      </c>
    </row>
    <row r="19" spans="1:3" x14ac:dyDescent="0.3">
      <c r="A19" t="s">
        <v>36</v>
      </c>
    </row>
    <row r="20" spans="1:3" x14ac:dyDescent="0.3">
      <c r="B20" t="s">
        <v>37</v>
      </c>
      <c r="C20" s="10">
        <v>16</v>
      </c>
    </row>
    <row r="21" spans="1:3" x14ac:dyDescent="0.3">
      <c r="B21" t="s">
        <v>38</v>
      </c>
      <c r="C21" s="10">
        <v>3</v>
      </c>
    </row>
    <row r="22" spans="1:3" x14ac:dyDescent="0.3">
      <c r="B22" t="s">
        <v>39</v>
      </c>
      <c r="C22" s="10">
        <v>14</v>
      </c>
    </row>
    <row r="23" spans="1:3" x14ac:dyDescent="0.3">
      <c r="B23" t="s">
        <v>40</v>
      </c>
      <c r="C23" s="10">
        <v>44</v>
      </c>
    </row>
    <row r="24" spans="1:3" x14ac:dyDescent="0.3">
      <c r="B24" t="s">
        <v>41</v>
      </c>
      <c r="C24" s="10">
        <v>19</v>
      </c>
    </row>
    <row r="26" spans="1:3" x14ac:dyDescent="0.3">
      <c r="B26" t="s">
        <v>42</v>
      </c>
      <c r="C26" s="25">
        <v>0.34399999999999997</v>
      </c>
    </row>
    <row r="27" spans="1:3" x14ac:dyDescent="0.3">
      <c r="B27" s="1" t="s">
        <v>43</v>
      </c>
    </row>
    <row r="29" spans="1:3" x14ac:dyDescent="0.3">
      <c r="A29" t="s">
        <v>44</v>
      </c>
    </row>
    <row r="30" spans="1:3" x14ac:dyDescent="0.3">
      <c r="B30" t="s">
        <v>45</v>
      </c>
      <c r="C30" s="10">
        <v>6</v>
      </c>
    </row>
    <row r="31" spans="1:3" x14ac:dyDescent="0.3">
      <c r="B31" t="s">
        <v>38</v>
      </c>
      <c r="C31" s="10">
        <v>5</v>
      </c>
    </row>
    <row r="32" spans="1:3" x14ac:dyDescent="0.3">
      <c r="B32" t="s">
        <v>39</v>
      </c>
      <c r="C32" s="10">
        <v>7</v>
      </c>
    </row>
    <row r="33" spans="1:3" x14ac:dyDescent="0.3">
      <c r="B33" t="s">
        <v>40</v>
      </c>
      <c r="C33" s="10">
        <v>43</v>
      </c>
    </row>
    <row r="35" spans="1:3" x14ac:dyDescent="0.3">
      <c r="B35" t="s">
        <v>46</v>
      </c>
      <c r="C35" s="25">
        <v>0.29499999999999998</v>
      </c>
    </row>
    <row r="37" spans="1:3" x14ac:dyDescent="0.3">
      <c r="A37" t="s">
        <v>60</v>
      </c>
    </row>
    <row r="38" spans="1:3" x14ac:dyDescent="0.3">
      <c r="B38" t="s">
        <v>61</v>
      </c>
      <c r="C38" s="10">
        <v>98</v>
      </c>
    </row>
    <row r="39" spans="1:3" x14ac:dyDescent="0.3">
      <c r="B39" s="1" t="s">
        <v>62</v>
      </c>
    </row>
    <row r="41" spans="1:3" x14ac:dyDescent="0.3">
      <c r="B41" t="s">
        <v>63</v>
      </c>
      <c r="C41" s="10">
        <v>68</v>
      </c>
    </row>
    <row r="42" spans="1:3" x14ac:dyDescent="0.3">
      <c r="B42" s="1" t="s">
        <v>64</v>
      </c>
    </row>
    <row r="44" spans="1:3" x14ac:dyDescent="0.3">
      <c r="B44" t="s">
        <v>111</v>
      </c>
      <c r="C44" s="25">
        <v>0.69399999999999995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0BBD-64E7-43D8-BEE3-2910DC1CCFB1}">
  <dimension ref="A1:H17"/>
  <sheetViews>
    <sheetView workbookViewId="0">
      <selection activeCell="K20" sqref="K20"/>
    </sheetView>
  </sheetViews>
  <sheetFormatPr defaultRowHeight="14.4" x14ac:dyDescent="0.3"/>
  <cols>
    <col min="1" max="1" width="11.77734375" bestFit="1" customWidth="1"/>
    <col min="2" max="2" width="11.5546875" bestFit="1" customWidth="1"/>
    <col min="7" max="7" width="11.88671875" bestFit="1" customWidth="1"/>
  </cols>
  <sheetData>
    <row r="1" spans="1:8" x14ac:dyDescent="0.3">
      <c r="A1" t="s">
        <v>47</v>
      </c>
      <c r="B1" t="s">
        <v>57</v>
      </c>
      <c r="C1" t="s">
        <v>48</v>
      </c>
      <c r="D1" t="s">
        <v>25</v>
      </c>
      <c r="E1" t="s">
        <v>28</v>
      </c>
      <c r="F1" t="s">
        <v>49</v>
      </c>
      <c r="G1" t="s">
        <v>50</v>
      </c>
      <c r="H1" t="s">
        <v>112</v>
      </c>
    </row>
    <row r="2" spans="1:8" x14ac:dyDescent="0.3">
      <c r="A2" t="s">
        <v>51</v>
      </c>
      <c r="B2" t="s">
        <v>58</v>
      </c>
      <c r="C2" s="10">
        <v>7</v>
      </c>
      <c r="D2" s="10">
        <v>4</v>
      </c>
      <c r="E2" s="10">
        <v>1</v>
      </c>
      <c r="F2" s="12">
        <v>0.42857142857142855</v>
      </c>
      <c r="G2" s="22"/>
      <c r="H2" s="31">
        <v>0.44444444444444442</v>
      </c>
    </row>
    <row r="3" spans="1:8" x14ac:dyDescent="0.3">
      <c r="B3" t="s">
        <v>59</v>
      </c>
      <c r="C3" s="10">
        <v>2</v>
      </c>
      <c r="D3" s="10">
        <v>1</v>
      </c>
      <c r="E3" s="10">
        <v>0</v>
      </c>
      <c r="F3" s="22"/>
      <c r="G3" s="12">
        <v>0.5</v>
      </c>
      <c r="H3" s="31"/>
    </row>
    <row r="4" spans="1:8" x14ac:dyDescent="0.3">
      <c r="A4" t="s">
        <v>52</v>
      </c>
      <c r="B4" t="s">
        <v>58</v>
      </c>
      <c r="C4" s="10">
        <v>4</v>
      </c>
      <c r="D4" s="10">
        <v>0</v>
      </c>
      <c r="E4" s="10">
        <v>1</v>
      </c>
      <c r="F4" s="12">
        <v>-0.25</v>
      </c>
      <c r="G4" s="22"/>
      <c r="H4" s="31">
        <v>0.1111111111111111</v>
      </c>
    </row>
    <row r="5" spans="1:8" x14ac:dyDescent="0.3">
      <c r="B5" t="s">
        <v>59</v>
      </c>
      <c r="C5" s="10">
        <v>5</v>
      </c>
      <c r="D5" s="10">
        <v>2</v>
      </c>
      <c r="E5" s="10">
        <v>0</v>
      </c>
      <c r="F5" s="22"/>
      <c r="G5" s="12">
        <v>0.4</v>
      </c>
      <c r="H5" s="31"/>
    </row>
    <row r="6" spans="1:8" x14ac:dyDescent="0.3">
      <c r="A6" s="4">
        <v>51</v>
      </c>
      <c r="B6" t="s">
        <v>58</v>
      </c>
      <c r="C6" s="10">
        <v>8</v>
      </c>
      <c r="D6" s="10">
        <v>7</v>
      </c>
      <c r="E6" s="10">
        <v>1</v>
      </c>
      <c r="F6" s="12">
        <v>0.75</v>
      </c>
      <c r="G6" s="22"/>
      <c r="H6" s="31">
        <v>0.53333333333333333</v>
      </c>
    </row>
    <row r="7" spans="1:8" x14ac:dyDescent="0.3">
      <c r="B7" t="s">
        <v>59</v>
      </c>
      <c r="C7" s="10">
        <v>7</v>
      </c>
      <c r="D7" s="10">
        <v>4</v>
      </c>
      <c r="E7" s="10">
        <v>2</v>
      </c>
      <c r="F7" s="22"/>
      <c r="G7" s="12">
        <v>0.8571428571428571</v>
      </c>
      <c r="H7" s="31"/>
    </row>
    <row r="8" spans="1:8" x14ac:dyDescent="0.3">
      <c r="A8" s="4">
        <v>31</v>
      </c>
      <c r="B8" t="s">
        <v>58</v>
      </c>
      <c r="C8" s="10">
        <v>6</v>
      </c>
      <c r="D8" s="10">
        <v>3</v>
      </c>
      <c r="E8" s="10">
        <v>1</v>
      </c>
      <c r="F8" s="12">
        <v>0.33333333333333331</v>
      </c>
      <c r="G8" s="22"/>
      <c r="H8" s="31">
        <v>0.33333333333333331</v>
      </c>
    </row>
    <row r="9" spans="1:8" x14ac:dyDescent="0.3">
      <c r="B9" t="s">
        <v>59</v>
      </c>
      <c r="C9" s="10">
        <v>0</v>
      </c>
      <c r="D9" s="10">
        <v>0</v>
      </c>
      <c r="E9" s="10">
        <v>0</v>
      </c>
      <c r="F9" s="22"/>
      <c r="G9" s="12" t="s">
        <v>121</v>
      </c>
      <c r="H9" s="31"/>
    </row>
    <row r="10" spans="1:8" x14ac:dyDescent="0.3">
      <c r="A10" t="s">
        <v>53</v>
      </c>
      <c r="B10" t="s">
        <v>58</v>
      </c>
      <c r="C10" s="10">
        <v>4</v>
      </c>
      <c r="D10" s="10">
        <v>0</v>
      </c>
      <c r="E10" s="10">
        <v>0</v>
      </c>
      <c r="F10" s="12">
        <v>0</v>
      </c>
      <c r="G10" s="22"/>
      <c r="H10" s="31">
        <v>0</v>
      </c>
    </row>
    <row r="11" spans="1:8" x14ac:dyDescent="0.3">
      <c r="B11" t="s">
        <v>59</v>
      </c>
      <c r="C11" s="10">
        <v>6</v>
      </c>
      <c r="D11" s="10">
        <v>1</v>
      </c>
      <c r="E11" s="10">
        <v>1</v>
      </c>
      <c r="F11" s="22"/>
      <c r="G11" s="12">
        <v>0.33333333333333331</v>
      </c>
      <c r="H11" s="31"/>
    </row>
    <row r="12" spans="1:8" x14ac:dyDescent="0.3">
      <c r="A12" t="s">
        <v>54</v>
      </c>
      <c r="B12" t="s">
        <v>58</v>
      </c>
      <c r="C12" s="10">
        <v>9</v>
      </c>
      <c r="D12" s="10">
        <v>8</v>
      </c>
      <c r="E12" s="10">
        <v>1</v>
      </c>
      <c r="F12" s="12">
        <v>0.77777777777777779</v>
      </c>
      <c r="G12" s="22"/>
      <c r="H12" s="31">
        <v>0.46153846153846156</v>
      </c>
    </row>
    <row r="13" spans="1:8" x14ac:dyDescent="0.3">
      <c r="B13" t="s">
        <v>59</v>
      </c>
      <c r="C13" s="10">
        <v>4</v>
      </c>
      <c r="D13" s="10">
        <v>1</v>
      </c>
      <c r="E13" s="10">
        <v>2</v>
      </c>
      <c r="F13" s="22"/>
      <c r="G13" s="12">
        <v>0.75</v>
      </c>
      <c r="H13" s="31"/>
    </row>
    <row r="14" spans="1:8" x14ac:dyDescent="0.3">
      <c r="A14" t="s">
        <v>55</v>
      </c>
      <c r="B14" t="s">
        <v>58</v>
      </c>
      <c r="C14" s="10">
        <v>6</v>
      </c>
      <c r="D14" s="10">
        <v>3</v>
      </c>
      <c r="E14" s="10">
        <v>2</v>
      </c>
      <c r="F14" s="12">
        <v>0.16666666666666666</v>
      </c>
      <c r="G14" s="22"/>
      <c r="H14" s="31">
        <v>0.44444444444444442</v>
      </c>
    </row>
    <row r="15" spans="1:8" x14ac:dyDescent="0.3">
      <c r="B15" t="s">
        <v>59</v>
      </c>
      <c r="C15" s="10">
        <v>3</v>
      </c>
      <c r="D15" s="10">
        <v>3</v>
      </c>
      <c r="E15" s="10">
        <v>0</v>
      </c>
      <c r="F15" s="22"/>
      <c r="G15" s="12">
        <v>1</v>
      </c>
      <c r="H15" s="31"/>
    </row>
    <row r="16" spans="1:8" x14ac:dyDescent="0.3">
      <c r="A16" t="s">
        <v>56</v>
      </c>
      <c r="B16" t="s">
        <v>58</v>
      </c>
      <c r="C16" s="10">
        <v>2</v>
      </c>
      <c r="D16" s="10">
        <v>1</v>
      </c>
      <c r="E16" s="10">
        <v>1</v>
      </c>
      <c r="F16" s="12">
        <v>0</v>
      </c>
      <c r="G16" s="22"/>
      <c r="H16" s="31">
        <v>-0.33333333333333331</v>
      </c>
    </row>
    <row r="17" spans="2:8" x14ac:dyDescent="0.3">
      <c r="B17" t="s">
        <v>59</v>
      </c>
      <c r="C17" s="10">
        <v>1</v>
      </c>
      <c r="D17" s="10">
        <v>0</v>
      </c>
      <c r="E17" s="10">
        <v>1</v>
      </c>
      <c r="F17" s="22"/>
      <c r="G17" s="12">
        <v>1</v>
      </c>
      <c r="H17" s="31"/>
    </row>
  </sheetData>
  <mergeCells count="8">
    <mergeCell ref="H14:H15"/>
    <mergeCell ref="H16:H17"/>
    <mergeCell ref="H2:H3"/>
    <mergeCell ref="H4:H5"/>
    <mergeCell ref="H6:H7"/>
    <mergeCell ref="H8:H9"/>
    <mergeCell ref="H10:H11"/>
    <mergeCell ref="H12:H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A772-7320-4DA7-8239-FD8F63EB60CC}">
  <dimension ref="A1:P8"/>
  <sheetViews>
    <sheetView workbookViewId="0">
      <selection activeCell="G22" sqref="G22"/>
    </sheetView>
  </sheetViews>
  <sheetFormatPr defaultRowHeight="14.4" x14ac:dyDescent="0.3"/>
  <sheetData>
    <row r="1" spans="1:16" x14ac:dyDescent="0.3">
      <c r="A1" s="6"/>
      <c r="B1" s="32" t="s">
        <v>6</v>
      </c>
      <c r="C1" s="33"/>
      <c r="D1" s="32" t="s">
        <v>36</v>
      </c>
      <c r="E1" s="32"/>
      <c r="F1" s="32"/>
      <c r="G1" s="33"/>
      <c r="H1" s="34" t="s">
        <v>99</v>
      </c>
      <c r="I1" s="32"/>
      <c r="J1" s="32"/>
      <c r="K1" s="32"/>
      <c r="L1" s="33"/>
      <c r="M1" s="32" t="s">
        <v>24</v>
      </c>
      <c r="N1" s="32"/>
      <c r="O1" s="32"/>
      <c r="P1" s="33"/>
    </row>
    <row r="2" spans="1:16" x14ac:dyDescent="0.3">
      <c r="A2" s="6" t="s">
        <v>67</v>
      </c>
      <c r="B2" t="s">
        <v>85</v>
      </c>
      <c r="C2" s="6" t="s">
        <v>86</v>
      </c>
      <c r="D2" t="s">
        <v>87</v>
      </c>
      <c r="E2" t="s">
        <v>93</v>
      </c>
      <c r="F2" t="s">
        <v>94</v>
      </c>
      <c r="G2" s="6" t="s">
        <v>95</v>
      </c>
      <c r="H2" t="s">
        <v>88</v>
      </c>
      <c r="I2" t="s">
        <v>89</v>
      </c>
      <c r="J2" t="s">
        <v>90</v>
      </c>
      <c r="K2" t="s">
        <v>91</v>
      </c>
      <c r="L2" s="6" t="s">
        <v>92</v>
      </c>
      <c r="M2" t="s">
        <v>96</v>
      </c>
      <c r="N2" t="s">
        <v>97</v>
      </c>
      <c r="O2" t="s">
        <v>98</v>
      </c>
      <c r="P2" s="6" t="s">
        <v>120</v>
      </c>
    </row>
    <row r="3" spans="1:16" x14ac:dyDescent="0.3">
      <c r="A3" s="6" t="s">
        <v>69</v>
      </c>
      <c r="B3" s="19">
        <v>0.5</v>
      </c>
      <c r="C3" s="19">
        <v>0.64700000000000002</v>
      </c>
      <c r="D3" s="20">
        <v>6</v>
      </c>
      <c r="E3" s="20">
        <v>4</v>
      </c>
      <c r="F3" s="20">
        <v>22</v>
      </c>
      <c r="G3" s="21">
        <v>0.81799999999999995</v>
      </c>
      <c r="H3" s="20">
        <v>6</v>
      </c>
      <c r="I3" s="20">
        <v>6</v>
      </c>
      <c r="J3" s="20">
        <v>2</v>
      </c>
      <c r="K3" s="20">
        <v>0</v>
      </c>
      <c r="L3" s="20">
        <v>14</v>
      </c>
      <c r="M3" s="20">
        <v>7</v>
      </c>
      <c r="N3" s="20">
        <v>5</v>
      </c>
      <c r="O3" s="20">
        <v>19</v>
      </c>
      <c r="P3" s="20">
        <v>0.105</v>
      </c>
    </row>
    <row r="4" spans="1:16" x14ac:dyDescent="0.3">
      <c r="A4" s="6" t="s">
        <v>70</v>
      </c>
      <c r="B4" s="19">
        <v>0.4</v>
      </c>
      <c r="C4" s="19">
        <v>0.9</v>
      </c>
      <c r="D4" s="20">
        <v>3</v>
      </c>
      <c r="E4" s="20">
        <v>4</v>
      </c>
      <c r="F4" s="20">
        <v>15</v>
      </c>
      <c r="G4" s="21">
        <v>0.73299999999999998</v>
      </c>
      <c r="H4" s="20">
        <v>5</v>
      </c>
      <c r="I4" s="20">
        <v>1</v>
      </c>
      <c r="J4" s="20">
        <v>1</v>
      </c>
      <c r="K4" s="20">
        <v>0</v>
      </c>
      <c r="L4" s="20">
        <v>7</v>
      </c>
      <c r="M4" s="20">
        <v>6</v>
      </c>
      <c r="N4" s="20">
        <v>2</v>
      </c>
      <c r="O4" s="20">
        <v>14</v>
      </c>
      <c r="P4" s="20">
        <v>0.28599999999999998</v>
      </c>
    </row>
    <row r="5" spans="1:16" x14ac:dyDescent="0.3">
      <c r="A5" s="6" t="s">
        <v>71</v>
      </c>
      <c r="B5" s="19">
        <v>0.57099999999999995</v>
      </c>
      <c r="C5" s="19">
        <v>0.61499999999999999</v>
      </c>
      <c r="D5" s="20">
        <v>0</v>
      </c>
      <c r="E5" s="20">
        <v>0</v>
      </c>
      <c r="F5" s="20">
        <v>21</v>
      </c>
      <c r="G5" s="21">
        <v>1</v>
      </c>
      <c r="H5" s="20">
        <v>1</v>
      </c>
      <c r="I5" s="20">
        <v>4</v>
      </c>
      <c r="J5" s="20">
        <v>3</v>
      </c>
      <c r="K5" s="20">
        <v>2</v>
      </c>
      <c r="L5" s="20">
        <v>10</v>
      </c>
      <c r="M5" s="20">
        <v>8</v>
      </c>
      <c r="N5" s="20">
        <v>3</v>
      </c>
      <c r="O5" s="20">
        <v>16</v>
      </c>
      <c r="P5" s="20">
        <v>0.313</v>
      </c>
    </row>
    <row r="6" spans="1:16" x14ac:dyDescent="0.3">
      <c r="A6" s="6" t="s">
        <v>72</v>
      </c>
      <c r="B6" s="19">
        <v>0.38500000000000001</v>
      </c>
      <c r="C6" s="19">
        <v>0.8</v>
      </c>
      <c r="D6" s="20">
        <v>5</v>
      </c>
      <c r="E6" s="20">
        <v>7</v>
      </c>
      <c r="F6" s="20">
        <v>13</v>
      </c>
      <c r="G6" s="21">
        <v>0.46200000000000002</v>
      </c>
      <c r="H6" s="20">
        <v>6</v>
      </c>
      <c r="I6" s="20">
        <v>1</v>
      </c>
      <c r="J6" s="20">
        <v>1</v>
      </c>
      <c r="K6" s="20">
        <v>1</v>
      </c>
      <c r="L6" s="20">
        <v>9</v>
      </c>
      <c r="M6" s="20">
        <v>7</v>
      </c>
      <c r="N6" s="20">
        <v>0</v>
      </c>
      <c r="O6" s="20">
        <v>8</v>
      </c>
      <c r="P6" s="20">
        <v>0.875</v>
      </c>
    </row>
    <row r="7" spans="1:16" x14ac:dyDescent="0.3">
      <c r="A7" s="6" t="s">
        <v>73</v>
      </c>
      <c r="B7" s="19">
        <v>0.27300000000000002</v>
      </c>
      <c r="C7" s="19">
        <v>0.8</v>
      </c>
      <c r="D7" s="20">
        <v>0</v>
      </c>
      <c r="E7" s="20">
        <v>2</v>
      </c>
      <c r="F7" s="20">
        <v>11</v>
      </c>
      <c r="G7" s="21">
        <v>0.81799999999999995</v>
      </c>
      <c r="H7" s="20">
        <v>4</v>
      </c>
      <c r="I7" s="20">
        <v>1</v>
      </c>
      <c r="J7" s="20">
        <v>2</v>
      </c>
      <c r="K7" s="20">
        <v>2</v>
      </c>
      <c r="L7" s="20">
        <v>9</v>
      </c>
      <c r="M7" s="20">
        <v>6</v>
      </c>
      <c r="N7" s="20">
        <v>1</v>
      </c>
      <c r="O7" s="20">
        <v>10</v>
      </c>
      <c r="P7" s="20">
        <v>0.5</v>
      </c>
    </row>
    <row r="8" spans="1:16" x14ac:dyDescent="0.3">
      <c r="A8" s="6" t="s">
        <v>74</v>
      </c>
      <c r="B8" s="19">
        <v>0.42899999999999999</v>
      </c>
      <c r="C8" s="19">
        <v>0.66700000000000004</v>
      </c>
      <c r="D8" s="20">
        <v>2</v>
      </c>
      <c r="E8" s="20">
        <v>2</v>
      </c>
      <c r="F8" s="20">
        <v>14</v>
      </c>
      <c r="G8" s="21">
        <v>0.85699999999999998</v>
      </c>
      <c r="H8" s="20">
        <v>6</v>
      </c>
      <c r="I8" s="20">
        <v>3</v>
      </c>
      <c r="J8" s="20">
        <v>2</v>
      </c>
      <c r="K8" s="20">
        <v>1</v>
      </c>
      <c r="L8" s="20">
        <v>12</v>
      </c>
      <c r="M8" s="20">
        <v>7</v>
      </c>
      <c r="N8" s="20">
        <v>4</v>
      </c>
      <c r="O8" s="20">
        <v>16</v>
      </c>
      <c r="P8" s="20">
        <v>0.188</v>
      </c>
    </row>
  </sheetData>
  <mergeCells count="4">
    <mergeCell ref="B1:C1"/>
    <mergeCell ref="D1:G1"/>
    <mergeCell ref="H1:L1"/>
    <mergeCell ref="M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328C-95A8-417C-9FCF-8BA458C9B651}">
  <dimension ref="A1:H18"/>
  <sheetViews>
    <sheetView workbookViewId="0">
      <selection activeCell="K16" sqref="K16"/>
    </sheetView>
  </sheetViews>
  <sheetFormatPr defaultRowHeight="14.4" x14ac:dyDescent="0.3"/>
  <cols>
    <col min="1" max="1" width="9.6640625" bestFit="1" customWidth="1"/>
    <col min="2" max="2" width="12.44140625" customWidth="1"/>
  </cols>
  <sheetData>
    <row r="1" spans="1:8" x14ac:dyDescent="0.3">
      <c r="A1" t="s">
        <v>67</v>
      </c>
      <c r="B1" t="s">
        <v>68</v>
      </c>
      <c r="C1" t="s">
        <v>25</v>
      </c>
    </row>
    <row r="2" spans="1:8" x14ac:dyDescent="0.3">
      <c r="A2" t="s">
        <v>69</v>
      </c>
      <c r="B2" s="8">
        <v>15</v>
      </c>
      <c r="C2" s="8">
        <v>5</v>
      </c>
    </row>
    <row r="3" spans="1:8" x14ac:dyDescent="0.3">
      <c r="A3" t="s">
        <v>70</v>
      </c>
      <c r="B3" s="8">
        <v>10</v>
      </c>
      <c r="C3" s="8">
        <v>5</v>
      </c>
    </row>
    <row r="4" spans="1:8" x14ac:dyDescent="0.3">
      <c r="A4" t="s">
        <v>71</v>
      </c>
      <c r="B4" s="8">
        <v>10</v>
      </c>
      <c r="C4" s="8">
        <v>6</v>
      </c>
    </row>
    <row r="5" spans="1:8" x14ac:dyDescent="0.3">
      <c r="A5" t="s">
        <v>72</v>
      </c>
      <c r="B5" s="8">
        <v>7</v>
      </c>
      <c r="C5" s="8">
        <v>6</v>
      </c>
    </row>
    <row r="6" spans="1:8" x14ac:dyDescent="0.3">
      <c r="A6" t="s">
        <v>73</v>
      </c>
      <c r="B6" s="8">
        <v>8</v>
      </c>
      <c r="C6" s="8">
        <v>5</v>
      </c>
    </row>
    <row r="7" spans="1:8" x14ac:dyDescent="0.3">
      <c r="A7" t="s">
        <v>74</v>
      </c>
      <c r="B7" s="8">
        <v>12</v>
      </c>
      <c r="C7" s="8">
        <v>6</v>
      </c>
    </row>
    <row r="8" spans="1:8" x14ac:dyDescent="0.3">
      <c r="A8" t="s">
        <v>84</v>
      </c>
      <c r="B8" s="8">
        <v>62</v>
      </c>
      <c r="C8" s="8">
        <v>33</v>
      </c>
    </row>
    <row r="10" spans="1:8" x14ac:dyDescent="0.3">
      <c r="A10" s="5" t="s">
        <v>75</v>
      </c>
      <c r="B10" s="5" t="s">
        <v>68</v>
      </c>
      <c r="C10" s="5" t="s">
        <v>25</v>
      </c>
      <c r="D10" s="5" t="s">
        <v>113</v>
      </c>
      <c r="E10" s="5" t="s">
        <v>83</v>
      </c>
      <c r="F10" s="5" t="s">
        <v>77</v>
      </c>
      <c r="G10" s="5" t="s">
        <v>78</v>
      </c>
      <c r="H10" s="5" t="s">
        <v>79</v>
      </c>
    </row>
    <row r="11" spans="1:8" x14ac:dyDescent="0.3">
      <c r="A11" s="5" t="s">
        <v>80</v>
      </c>
      <c r="B11" s="10">
        <v>40</v>
      </c>
      <c r="C11" s="10">
        <v>23</v>
      </c>
      <c r="D11" s="10">
        <v>7</v>
      </c>
      <c r="E11" s="11">
        <v>0.81632653061224492</v>
      </c>
      <c r="F11" s="11">
        <v>0.57499999999999996</v>
      </c>
      <c r="G11" s="11">
        <v>0.17499999999999999</v>
      </c>
      <c r="H11" s="12">
        <v>0.4</v>
      </c>
    </row>
    <row r="12" spans="1:8" x14ac:dyDescent="0.3">
      <c r="A12" s="5" t="s">
        <v>81</v>
      </c>
      <c r="B12" s="10">
        <v>2</v>
      </c>
      <c r="C12" s="10">
        <v>0</v>
      </c>
      <c r="D12" s="10">
        <v>0</v>
      </c>
      <c r="E12" s="11">
        <v>4.0816326530612242E-2</v>
      </c>
      <c r="F12" s="11">
        <v>0</v>
      </c>
      <c r="G12" s="11">
        <v>0</v>
      </c>
      <c r="H12" s="12">
        <v>0</v>
      </c>
    </row>
    <row r="13" spans="1:8" x14ac:dyDescent="0.3">
      <c r="A13" s="5" t="s">
        <v>82</v>
      </c>
      <c r="B13" s="10">
        <v>7</v>
      </c>
      <c r="C13" s="10">
        <v>4</v>
      </c>
      <c r="D13" s="10">
        <v>1</v>
      </c>
      <c r="E13" s="11">
        <v>0.14285714285714285</v>
      </c>
      <c r="F13" s="11">
        <v>0.5714285714285714</v>
      </c>
      <c r="G13" s="11">
        <v>0.14285714285714285</v>
      </c>
      <c r="H13" s="12">
        <v>0.42857142857142855</v>
      </c>
    </row>
    <row r="14" spans="1:8" x14ac:dyDescent="0.3">
      <c r="A14" s="5"/>
      <c r="B14" s="5"/>
      <c r="C14" s="5"/>
      <c r="D14" s="5"/>
      <c r="E14" s="5"/>
      <c r="F14" s="5"/>
      <c r="G14" s="5"/>
      <c r="H14" s="5"/>
    </row>
    <row r="15" spans="1:8" x14ac:dyDescent="0.3">
      <c r="A15" s="5" t="s">
        <v>75</v>
      </c>
      <c r="B15" s="5" t="s">
        <v>68</v>
      </c>
      <c r="C15" s="5" t="s">
        <v>25</v>
      </c>
      <c r="D15" s="5" t="s">
        <v>113</v>
      </c>
      <c r="E15" s="5" t="s">
        <v>76</v>
      </c>
      <c r="F15" s="5" t="s">
        <v>77</v>
      </c>
      <c r="G15" s="5" t="s">
        <v>78</v>
      </c>
      <c r="H15" s="5" t="s">
        <v>79</v>
      </c>
    </row>
    <row r="16" spans="1:8" x14ac:dyDescent="0.3">
      <c r="A16" s="5" t="s">
        <v>80</v>
      </c>
      <c r="B16" s="10">
        <v>22</v>
      </c>
      <c r="C16" s="10">
        <v>10</v>
      </c>
      <c r="D16" s="10">
        <v>5</v>
      </c>
      <c r="E16" s="11">
        <v>0.70967741935483875</v>
      </c>
      <c r="F16" s="11">
        <v>0.45454545454545453</v>
      </c>
      <c r="G16" s="11">
        <v>0.22727272727272727</v>
      </c>
      <c r="H16" s="12">
        <v>0.22727272727272727</v>
      </c>
    </row>
    <row r="17" spans="1:8" x14ac:dyDescent="0.3">
      <c r="A17" s="5" t="s">
        <v>81</v>
      </c>
      <c r="B17" s="10">
        <v>0</v>
      </c>
      <c r="C17" s="10">
        <v>0</v>
      </c>
      <c r="D17" s="10">
        <v>0</v>
      </c>
      <c r="E17" s="11">
        <v>0</v>
      </c>
      <c r="F17" s="11" t="s">
        <v>121</v>
      </c>
      <c r="G17" s="11" t="s">
        <v>121</v>
      </c>
      <c r="H17" s="12" t="s">
        <v>121</v>
      </c>
    </row>
    <row r="18" spans="1:8" x14ac:dyDescent="0.3">
      <c r="A18" s="5" t="s">
        <v>82</v>
      </c>
      <c r="B18" s="10">
        <v>9</v>
      </c>
      <c r="C18" s="10">
        <v>2</v>
      </c>
      <c r="D18" s="10">
        <v>2</v>
      </c>
      <c r="E18" s="11">
        <v>0.29032258064516131</v>
      </c>
      <c r="F18" s="11">
        <v>0.22222222222222221</v>
      </c>
      <c r="G18" s="11">
        <v>0.22222222222222221</v>
      </c>
      <c r="H18" s="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3527-BA1D-481B-8218-75EA39FCCDE4}">
  <dimension ref="A1:I26"/>
  <sheetViews>
    <sheetView workbookViewId="0">
      <selection activeCell="O11" sqref="O11"/>
    </sheetView>
  </sheetViews>
  <sheetFormatPr defaultRowHeight="14.4" x14ac:dyDescent="0.3"/>
  <cols>
    <col min="1" max="1" width="9.21875" bestFit="1" customWidth="1"/>
    <col min="2" max="2" width="11.21875" bestFit="1" customWidth="1"/>
    <col min="4" max="4" width="11.77734375" bestFit="1" customWidth="1"/>
    <col min="6" max="6" width="9.5546875" bestFit="1" customWidth="1"/>
  </cols>
  <sheetData>
    <row r="1" spans="1:9" ht="15" thickBot="1" x14ac:dyDescent="0.35">
      <c r="A1" s="7" t="s">
        <v>100</v>
      </c>
      <c r="B1" s="7" t="s">
        <v>101</v>
      </c>
      <c r="C1" s="7" t="s">
        <v>102</v>
      </c>
      <c r="D1" s="7" t="s">
        <v>103</v>
      </c>
      <c r="E1" s="7" t="s">
        <v>104</v>
      </c>
      <c r="F1" s="7" t="s">
        <v>40</v>
      </c>
      <c r="G1" s="7" t="s">
        <v>45</v>
      </c>
      <c r="H1" s="7" t="s">
        <v>105</v>
      </c>
      <c r="I1" s="7" t="s">
        <v>10</v>
      </c>
    </row>
    <row r="2" spans="1:9" x14ac:dyDescent="0.3">
      <c r="A2" s="35">
        <v>2</v>
      </c>
      <c r="B2" s="35" t="s">
        <v>122</v>
      </c>
      <c r="C2" s="35" t="s">
        <v>123</v>
      </c>
      <c r="D2" s="9" t="s">
        <v>106</v>
      </c>
      <c r="E2" s="26">
        <v>8</v>
      </c>
      <c r="F2" s="26">
        <v>7</v>
      </c>
      <c r="G2" s="26">
        <v>0</v>
      </c>
      <c r="H2" s="28">
        <f>F2/E2</f>
        <v>0.875</v>
      </c>
      <c r="I2" s="28">
        <f>G2/E2</f>
        <v>0</v>
      </c>
    </row>
    <row r="3" spans="1:9" x14ac:dyDescent="0.3">
      <c r="A3" s="36"/>
      <c r="B3" s="36"/>
      <c r="C3" s="36"/>
      <c r="D3" t="s">
        <v>107</v>
      </c>
      <c r="E3" s="10">
        <v>5</v>
      </c>
      <c r="F3" s="10">
        <v>4</v>
      </c>
      <c r="G3" s="10">
        <v>0</v>
      </c>
      <c r="H3" s="29">
        <f t="shared" ref="H3:H25" si="0">F3/E3</f>
        <v>0.8</v>
      </c>
      <c r="I3" s="29">
        <f t="shared" ref="I3:I25" si="1">G3/E3</f>
        <v>0</v>
      </c>
    </row>
    <row r="4" spans="1:9" x14ac:dyDescent="0.3">
      <c r="A4" s="36"/>
      <c r="B4" s="36"/>
      <c r="C4" s="36"/>
      <c r="D4" t="s">
        <v>108</v>
      </c>
      <c r="E4" s="10">
        <v>10</v>
      </c>
      <c r="F4" s="10">
        <v>7</v>
      </c>
      <c r="G4" s="10">
        <v>1</v>
      </c>
      <c r="H4" s="29">
        <f t="shared" si="0"/>
        <v>0.7</v>
      </c>
      <c r="I4" s="29">
        <f t="shared" si="1"/>
        <v>0.1</v>
      </c>
    </row>
    <row r="5" spans="1:9" x14ac:dyDescent="0.3">
      <c r="A5" s="36"/>
      <c r="B5" s="36"/>
      <c r="C5" s="36"/>
      <c r="D5" t="s">
        <v>109</v>
      </c>
      <c r="E5" s="10">
        <v>5</v>
      </c>
      <c r="F5" s="10">
        <v>3</v>
      </c>
      <c r="G5" s="10">
        <v>0</v>
      </c>
      <c r="H5" s="29">
        <f t="shared" si="0"/>
        <v>0.6</v>
      </c>
      <c r="I5" s="29">
        <f t="shared" si="1"/>
        <v>0</v>
      </c>
    </row>
    <row r="6" spans="1:9" ht="15" thickBot="1" x14ac:dyDescent="0.35">
      <c r="A6" s="37"/>
      <c r="B6" s="37"/>
      <c r="C6" s="37"/>
      <c r="D6" s="7" t="s">
        <v>110</v>
      </c>
      <c r="E6" s="27">
        <v>10</v>
      </c>
      <c r="F6" s="27">
        <v>7</v>
      </c>
      <c r="G6" s="27">
        <v>0</v>
      </c>
      <c r="H6" s="29">
        <f t="shared" si="0"/>
        <v>0.7</v>
      </c>
      <c r="I6" s="29">
        <f t="shared" si="1"/>
        <v>0</v>
      </c>
    </row>
    <row r="7" spans="1:9" x14ac:dyDescent="0.3">
      <c r="A7" s="35">
        <v>1</v>
      </c>
      <c r="B7" s="35" t="s">
        <v>124</v>
      </c>
      <c r="C7" s="35" t="s">
        <v>125</v>
      </c>
      <c r="D7" s="9" t="s">
        <v>106</v>
      </c>
      <c r="E7" s="26">
        <v>4</v>
      </c>
      <c r="F7" s="26">
        <v>4</v>
      </c>
      <c r="G7" s="26">
        <v>0</v>
      </c>
      <c r="H7" s="28">
        <f t="shared" si="0"/>
        <v>1</v>
      </c>
      <c r="I7" s="28">
        <f t="shared" si="1"/>
        <v>0</v>
      </c>
    </row>
    <row r="8" spans="1:9" x14ac:dyDescent="0.3">
      <c r="A8" s="36"/>
      <c r="B8" s="36"/>
      <c r="C8" s="36"/>
      <c r="D8" t="s">
        <v>107</v>
      </c>
      <c r="E8" s="10">
        <v>3</v>
      </c>
      <c r="F8" s="10">
        <v>2</v>
      </c>
      <c r="G8" s="10">
        <v>0</v>
      </c>
      <c r="H8" s="29">
        <f t="shared" si="0"/>
        <v>0.66666666666666663</v>
      </c>
      <c r="I8" s="29">
        <f t="shared" si="1"/>
        <v>0</v>
      </c>
    </row>
    <row r="9" spans="1:9" x14ac:dyDescent="0.3">
      <c r="A9" s="36"/>
      <c r="B9" s="36"/>
      <c r="C9" s="36"/>
      <c r="D9" t="s">
        <v>108</v>
      </c>
      <c r="E9" s="10">
        <v>1</v>
      </c>
      <c r="F9" s="10">
        <v>1</v>
      </c>
      <c r="G9" s="10">
        <v>0</v>
      </c>
      <c r="H9" s="29">
        <f t="shared" si="0"/>
        <v>1</v>
      </c>
      <c r="I9" s="29">
        <f t="shared" si="1"/>
        <v>0</v>
      </c>
    </row>
    <row r="10" spans="1:9" x14ac:dyDescent="0.3">
      <c r="A10" s="36"/>
      <c r="B10" s="36"/>
      <c r="C10" s="36"/>
      <c r="D10" t="s">
        <v>109</v>
      </c>
      <c r="E10" s="10">
        <v>4</v>
      </c>
      <c r="F10" s="10">
        <v>1</v>
      </c>
      <c r="G10" s="10">
        <v>2</v>
      </c>
      <c r="H10" s="29">
        <f t="shared" si="0"/>
        <v>0.25</v>
      </c>
      <c r="I10" s="29">
        <f t="shared" si="1"/>
        <v>0.5</v>
      </c>
    </row>
    <row r="11" spans="1:9" ht="15" thickBot="1" x14ac:dyDescent="0.35">
      <c r="A11" s="37"/>
      <c r="B11" s="37"/>
      <c r="C11" s="37"/>
      <c r="D11" s="7" t="s">
        <v>110</v>
      </c>
      <c r="E11" s="27">
        <v>2</v>
      </c>
      <c r="F11" s="27">
        <v>2</v>
      </c>
      <c r="G11" s="27">
        <v>0</v>
      </c>
      <c r="H11" s="29">
        <f t="shared" si="0"/>
        <v>1</v>
      </c>
      <c r="I11" s="29">
        <f t="shared" si="1"/>
        <v>0</v>
      </c>
    </row>
    <row r="12" spans="1:9" x14ac:dyDescent="0.3">
      <c r="A12" s="35">
        <v>4</v>
      </c>
      <c r="B12" s="35" t="s">
        <v>126</v>
      </c>
      <c r="C12" s="35" t="s">
        <v>125</v>
      </c>
      <c r="D12" s="9" t="s">
        <v>106</v>
      </c>
      <c r="E12" s="26">
        <v>0</v>
      </c>
      <c r="F12" s="26">
        <v>0</v>
      </c>
      <c r="G12" s="26">
        <v>0</v>
      </c>
      <c r="H12" s="28" t="s">
        <v>121</v>
      </c>
      <c r="I12" s="28" t="s">
        <v>121</v>
      </c>
    </row>
    <row r="13" spans="1:9" x14ac:dyDescent="0.3">
      <c r="A13" s="36"/>
      <c r="B13" s="36"/>
      <c r="C13" s="36"/>
      <c r="D13" t="s">
        <v>107</v>
      </c>
      <c r="E13" s="10">
        <v>1</v>
      </c>
      <c r="F13" s="10">
        <v>1</v>
      </c>
      <c r="G13" s="10">
        <v>0</v>
      </c>
      <c r="H13" s="29">
        <f t="shared" si="0"/>
        <v>1</v>
      </c>
      <c r="I13" s="29">
        <f t="shared" si="1"/>
        <v>0</v>
      </c>
    </row>
    <row r="14" spans="1:9" x14ac:dyDescent="0.3">
      <c r="A14" s="36"/>
      <c r="B14" s="36"/>
      <c r="C14" s="36"/>
      <c r="D14" t="s">
        <v>108</v>
      </c>
      <c r="E14" s="10">
        <v>1</v>
      </c>
      <c r="F14" s="10">
        <v>1</v>
      </c>
      <c r="G14" s="10">
        <v>0</v>
      </c>
      <c r="H14" s="29">
        <f t="shared" si="0"/>
        <v>1</v>
      </c>
      <c r="I14" s="29">
        <f t="shared" si="1"/>
        <v>0</v>
      </c>
    </row>
    <row r="15" spans="1:9" x14ac:dyDescent="0.3">
      <c r="A15" s="36"/>
      <c r="B15" s="36"/>
      <c r="C15" s="36"/>
      <c r="D15" t="s">
        <v>109</v>
      </c>
      <c r="E15" s="10">
        <v>2</v>
      </c>
      <c r="F15" s="10">
        <v>2</v>
      </c>
      <c r="G15" s="10">
        <v>0</v>
      </c>
      <c r="H15" s="29">
        <f t="shared" si="0"/>
        <v>1</v>
      </c>
      <c r="I15" s="29">
        <f t="shared" si="1"/>
        <v>0</v>
      </c>
    </row>
    <row r="16" spans="1:9" ht="15" thickBot="1" x14ac:dyDescent="0.35">
      <c r="A16" s="37"/>
      <c r="B16" s="37"/>
      <c r="C16" s="37"/>
      <c r="D16" s="7" t="s">
        <v>110</v>
      </c>
      <c r="E16" s="27">
        <v>2</v>
      </c>
      <c r="F16" s="27">
        <v>0</v>
      </c>
      <c r="G16" s="27">
        <v>2</v>
      </c>
      <c r="H16" s="29">
        <f t="shared" si="0"/>
        <v>0</v>
      </c>
      <c r="I16" s="29">
        <f t="shared" si="1"/>
        <v>1</v>
      </c>
    </row>
    <row r="17" spans="1:9" x14ac:dyDescent="0.3">
      <c r="A17" s="35">
        <v>10</v>
      </c>
      <c r="B17" s="35" t="s">
        <v>127</v>
      </c>
      <c r="C17" s="35" t="s">
        <v>123</v>
      </c>
      <c r="D17" s="9" t="s">
        <v>106</v>
      </c>
      <c r="E17" s="26">
        <v>1</v>
      </c>
      <c r="F17" s="26">
        <v>1</v>
      </c>
      <c r="G17" s="26">
        <v>0</v>
      </c>
      <c r="H17" s="28">
        <f t="shared" si="0"/>
        <v>1</v>
      </c>
      <c r="I17" s="28">
        <f t="shared" si="1"/>
        <v>0</v>
      </c>
    </row>
    <row r="18" spans="1:9" x14ac:dyDescent="0.3">
      <c r="A18" s="36"/>
      <c r="B18" s="36"/>
      <c r="C18" s="36"/>
      <c r="D18" t="s">
        <v>107</v>
      </c>
      <c r="E18" s="10">
        <v>0</v>
      </c>
      <c r="F18" s="10">
        <v>0</v>
      </c>
      <c r="G18" s="10">
        <v>0</v>
      </c>
      <c r="H18" s="29" t="s">
        <v>121</v>
      </c>
      <c r="I18" s="29" t="s">
        <v>121</v>
      </c>
    </row>
    <row r="19" spans="1:9" x14ac:dyDescent="0.3">
      <c r="A19" s="36"/>
      <c r="B19" s="36"/>
      <c r="C19" s="36"/>
      <c r="D19" t="s">
        <v>108</v>
      </c>
      <c r="E19" s="10">
        <v>0</v>
      </c>
      <c r="F19" s="10">
        <v>0</v>
      </c>
      <c r="G19" s="10">
        <v>0</v>
      </c>
      <c r="H19" s="29" t="s">
        <v>121</v>
      </c>
      <c r="I19" s="29" t="s">
        <v>121</v>
      </c>
    </row>
    <row r="20" spans="1:9" x14ac:dyDescent="0.3">
      <c r="A20" s="36"/>
      <c r="B20" s="36"/>
      <c r="C20" s="36"/>
      <c r="D20" t="s">
        <v>109</v>
      </c>
      <c r="E20" s="10">
        <v>1</v>
      </c>
      <c r="F20" s="10">
        <v>0</v>
      </c>
      <c r="G20" s="10">
        <v>1</v>
      </c>
      <c r="H20" s="29">
        <f t="shared" si="0"/>
        <v>0</v>
      </c>
      <c r="I20" s="29">
        <f t="shared" si="1"/>
        <v>1</v>
      </c>
    </row>
    <row r="21" spans="1:9" ht="15" thickBot="1" x14ac:dyDescent="0.35">
      <c r="A21" s="37"/>
      <c r="B21" s="37"/>
      <c r="C21" s="37"/>
      <c r="D21" s="7" t="s">
        <v>110</v>
      </c>
      <c r="E21" s="27">
        <v>0</v>
      </c>
      <c r="F21" s="27">
        <v>0</v>
      </c>
      <c r="G21" s="27">
        <v>0</v>
      </c>
      <c r="H21" s="29" t="s">
        <v>121</v>
      </c>
      <c r="I21" s="29" t="s">
        <v>121</v>
      </c>
    </row>
    <row r="22" spans="1:9" x14ac:dyDescent="0.3">
      <c r="A22" s="35">
        <v>6</v>
      </c>
      <c r="B22" s="35" t="s">
        <v>128</v>
      </c>
      <c r="C22" s="35" t="s">
        <v>125</v>
      </c>
      <c r="D22" s="9" t="s">
        <v>106</v>
      </c>
      <c r="E22" s="26">
        <v>0</v>
      </c>
      <c r="F22" s="26">
        <v>0</v>
      </c>
      <c r="G22" s="26">
        <v>0</v>
      </c>
      <c r="H22" s="28" t="s">
        <v>121</v>
      </c>
      <c r="I22" s="28" t="s">
        <v>121</v>
      </c>
    </row>
    <row r="23" spans="1:9" x14ac:dyDescent="0.3">
      <c r="A23" s="36"/>
      <c r="B23" s="36"/>
      <c r="C23" s="36"/>
      <c r="D23" t="s">
        <v>107</v>
      </c>
      <c r="E23" s="10">
        <v>0</v>
      </c>
      <c r="F23" s="10">
        <v>0</v>
      </c>
      <c r="G23" s="10">
        <v>0</v>
      </c>
      <c r="H23" s="29" t="s">
        <v>121</v>
      </c>
      <c r="I23" s="29" t="s">
        <v>121</v>
      </c>
    </row>
    <row r="24" spans="1:9" x14ac:dyDescent="0.3">
      <c r="A24" s="36"/>
      <c r="B24" s="36"/>
      <c r="C24" s="36"/>
      <c r="D24" t="s">
        <v>108</v>
      </c>
      <c r="E24" s="10">
        <v>0</v>
      </c>
      <c r="F24" s="10">
        <v>0</v>
      </c>
      <c r="G24" s="10">
        <v>0</v>
      </c>
      <c r="H24" s="29" t="s">
        <v>121</v>
      </c>
      <c r="I24" s="29" t="s">
        <v>121</v>
      </c>
    </row>
    <row r="25" spans="1:9" x14ac:dyDescent="0.3">
      <c r="A25" s="36"/>
      <c r="B25" s="36"/>
      <c r="C25" s="36"/>
      <c r="D25" t="s">
        <v>109</v>
      </c>
      <c r="E25" s="10">
        <v>1</v>
      </c>
      <c r="F25" s="10">
        <v>0</v>
      </c>
      <c r="G25" s="10">
        <v>0</v>
      </c>
      <c r="H25" s="29">
        <f t="shared" si="0"/>
        <v>0</v>
      </c>
      <c r="I25" s="29">
        <f t="shared" si="1"/>
        <v>0</v>
      </c>
    </row>
    <row r="26" spans="1:9" ht="15" thickBot="1" x14ac:dyDescent="0.35">
      <c r="A26" s="37"/>
      <c r="B26" s="37"/>
      <c r="C26" s="37"/>
      <c r="D26" s="7" t="s">
        <v>110</v>
      </c>
      <c r="E26" s="27">
        <v>0</v>
      </c>
      <c r="F26" s="27">
        <v>0</v>
      </c>
      <c r="G26" s="27">
        <v>0</v>
      </c>
      <c r="H26" s="30" t="s">
        <v>121</v>
      </c>
      <c r="I26" s="30" t="s">
        <v>121</v>
      </c>
    </row>
  </sheetData>
  <mergeCells count="15">
    <mergeCell ref="A12:A16"/>
    <mergeCell ref="B12:B16"/>
    <mergeCell ref="C12:C16"/>
    <mergeCell ref="C2:C6"/>
    <mergeCell ref="B2:B6"/>
    <mergeCell ref="A2:A6"/>
    <mergeCell ref="A7:A11"/>
    <mergeCell ref="B7:B11"/>
    <mergeCell ref="C7:C11"/>
    <mergeCell ref="A17:A21"/>
    <mergeCell ref="B17:B21"/>
    <mergeCell ref="C17:C21"/>
    <mergeCell ref="A22:A26"/>
    <mergeCell ref="B22:B26"/>
    <mergeCell ref="C22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 Information</vt:lpstr>
      <vt:lpstr>Key Metrics</vt:lpstr>
      <vt:lpstr>By Skill</vt:lpstr>
      <vt:lpstr>Attack Detail</vt:lpstr>
      <vt:lpstr>Rotation Details</vt:lpstr>
      <vt:lpstr>Setting Stats</vt:lpstr>
      <vt:lpstr>Passing by Contact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Patel</dc:creator>
  <cp:lastModifiedBy>Vivek Patel</cp:lastModifiedBy>
  <dcterms:created xsi:type="dcterms:W3CDTF">2026-10-24T19:08:39Z</dcterms:created>
  <dcterms:modified xsi:type="dcterms:W3CDTF">2026-10-28T03:22:27Z</dcterms:modified>
</cp:coreProperties>
</file>